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sts" sheetId="2" state="hidden" r:id="rId2"/>
  </sheets>
  <definedNames>
    <definedName name="_xlnm.Print_Area" localSheetId="0">'Invoice'!$A$1:$I$53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-&quot;$&quot;#,##0.00;&quot;$&quot;0.00"/>
  </numFmts>
  <fonts count="15">
    <font>
      <name val="Calibri"/>
      <family val="2"/>
      <color theme="1"/>
      <sz val="11"/>
      <scheme val="minor"/>
    </font>
    <font>
      <name val="Poiret One"/>
      <color rgb="0000FB00"/>
      <sz val="26"/>
    </font>
    <font>
      <i val="1"/>
      <color rgb="0000FB00"/>
      <sz val="9"/>
    </font>
    <font>
      <color rgb="00FFFFFF"/>
      <sz val="9"/>
    </font>
    <font>
      <b val="1"/>
      <color rgb="0000FB00"/>
    </font>
    <font>
      <b val="1"/>
      <color rgb="00595959"/>
      <sz val="9"/>
    </font>
    <font>
      <i val="1"/>
      <color rgb="00808080"/>
      <sz val="8"/>
    </font>
    <font/>
    <font>
      <b val="1"/>
    </font>
    <font>
      <b val="1"/>
      <color rgb="001F7A2A"/>
      <u val="single"/>
    </font>
    <font>
      <name val="Poiret One"/>
      <b val="1"/>
      <sz val="13"/>
    </font>
    <font>
      <color rgb="005E6B60"/>
      <sz val="9"/>
    </font>
    <font>
      <b val="1"/>
      <color rgb="002FAE37"/>
      <sz val="8"/>
    </font>
    <font>
      <name val="Poiret One"/>
      <color rgb="0000FB00"/>
      <sz val="16"/>
    </font>
    <font>
      <color rgb="009DB5A0"/>
      <sz val="9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F7D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141A1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4" fillId="2" borderId="0" pivotButton="0" quotePrefix="0" xfId="0"/>
    <xf numFmtId="0" fontId="5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164" fontId="0" fillId="3" borderId="1" applyAlignment="1" pivotButton="0" quotePrefix="0" xfId="0">
      <alignment vertical="top" wrapText="1"/>
    </xf>
    <xf numFmtId="164" fontId="0" fillId="4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1" pivotButton="0" quotePrefix="0" xfId="0"/>
    <xf numFmtId="166" fontId="0" fillId="3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7" fillId="0" borderId="0" applyAlignment="1" pivotButton="0" quotePrefix="0" xfId="0">
      <alignment horizontal="right"/>
    </xf>
    <xf numFmtId="167" fontId="0" fillId="4" borderId="1" pivotButton="0" quotePrefix="0" xfId="0"/>
    <xf numFmtId="0" fontId="9" fillId="4" borderId="1" pivotButton="0" quotePrefix="0" xfId="0"/>
    <xf numFmtId="0" fontId="0" fillId="4" borderId="1" pivotButton="0" quotePrefix="0" xfId="0"/>
    <xf numFmtId="10" fontId="0" fillId="3" borderId="1" pivotButton="0" quotePrefix="0" xfId="0"/>
    <xf numFmtId="0" fontId="8" fillId="0" borderId="0" applyAlignment="1" pivotButton="0" quotePrefix="0" xfId="0">
      <alignment horizontal="right"/>
    </xf>
    <xf numFmtId="165" fontId="4" fillId="2" borderId="1" pivotButton="0" quotePrefix="0" xfId="0"/>
    <xf numFmtId="0" fontId="0" fillId="3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0" fillId="0" borderId="2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19100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12" customWidth="1" min="4" max="4"/>
    <col width="13" customWidth="1" min="5" max="5"/>
    <col width="12" customWidth="1" min="6" max="6"/>
    <col width="13" customWidth="1" min="7" max="7"/>
    <col width="11" customWidth="1" min="8" max="8"/>
    <col width="15" customWidth="1" min="9" max="9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2" t="inlineStr">
        <is>
          <t>INVOICE</t>
        </is>
      </c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inlineStr">
        <is>
          <t>Uranium Glass Jewelry</t>
        </is>
      </c>
    </row>
    <row r="3" ht="2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4" t="inlineStr">
        <is>
          <t>info@storyshapedstudios.com</t>
        </is>
      </c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4" t="inlineStr">
        <is>
          <t>storyshapedstudios.com</t>
        </is>
      </c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4" t="inlineStr">
        <is>
          <t>etsy.com/shop/storyshapedstudios</t>
        </is>
      </c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4" t="inlineStr">
        <is>
          <t>instagram.com/storyshaped_studios</t>
        </is>
      </c>
    </row>
    <row r="7" ht="2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5" t="n"/>
    </row>
    <row r="9">
      <c r="A9" s="6" t="inlineStr">
        <is>
          <t>CUSTOMER</t>
        </is>
      </c>
      <c r="B9" s="1" t="n"/>
      <c r="C9" s="1" t="n"/>
      <c r="D9" s="1" t="n"/>
      <c r="E9" s="1" t="n"/>
      <c r="G9" s="6" t="inlineStr">
        <is>
          <t>INVOICE DETAILS</t>
        </is>
      </c>
      <c r="H9" s="1" t="n"/>
      <c r="I9" s="1" t="n"/>
    </row>
    <row r="10">
      <c r="A10" s="7" t="inlineStr">
        <is>
          <t>Name</t>
        </is>
      </c>
      <c r="B10" s="8" t="n"/>
      <c r="C10" s="9" t="n"/>
      <c r="D10" s="9" t="n"/>
      <c r="E10" s="9" t="n"/>
      <c r="H10" s="7" t="inlineStr">
        <is>
          <t>Order #</t>
        </is>
      </c>
      <c r="I10" s="8" t="n"/>
    </row>
    <row r="11">
      <c r="A11" s="7" t="inlineStr">
        <is>
          <t>Company</t>
        </is>
      </c>
      <c r="B11" s="8" t="n"/>
      <c r="C11" s="9" t="n"/>
      <c r="D11" s="9" t="n"/>
      <c r="E11" s="9" t="n"/>
      <c r="H11" s="7" t="inlineStr">
        <is>
          <t>Date</t>
        </is>
      </c>
      <c r="I11" s="10" t="n"/>
    </row>
    <row r="12">
      <c r="A12" s="7" t="inlineStr">
        <is>
          <t>Email</t>
        </is>
      </c>
      <c r="B12" s="8" t="n"/>
      <c r="C12" s="9" t="n"/>
      <c r="D12" s="9" t="n"/>
      <c r="E12" s="9" t="n"/>
      <c r="H12" s="7" t="inlineStr">
        <is>
          <t>Due</t>
        </is>
      </c>
      <c r="I12" s="11">
        <f>IF(I11="","",I11+30)</f>
        <v/>
      </c>
    </row>
    <row r="13">
      <c r="A13" s="7" t="inlineStr">
        <is>
          <t>Phone</t>
        </is>
      </c>
      <c r="B13" s="8" t="n"/>
      <c r="C13" s="9" t="n"/>
      <c r="D13" s="9" t="n"/>
      <c r="E13" s="9" t="n"/>
      <c r="H13" s="7" t="inlineStr">
        <is>
          <t>Status</t>
        </is>
      </c>
      <c r="I13" s="8" t="inlineStr">
        <is>
          <t>QUOTE / DRAFT</t>
        </is>
      </c>
    </row>
    <row r="14" ht="30" customHeight="1">
      <c r="A14" s="7" t="inlineStr">
        <is>
          <t>Billing Address</t>
        </is>
      </c>
      <c r="B14" s="8" t="n"/>
      <c r="C14" s="9" t="n"/>
      <c r="D14" s="9" t="n"/>
      <c r="E14" s="9" t="n"/>
      <c r="H14" s="7" t="inlineStr">
        <is>
          <t>Customer PO</t>
        </is>
      </c>
      <c r="I14" s="8" t="n"/>
    </row>
    <row r="15" ht="30" customHeight="1">
      <c r="A15" s="7" t="inlineStr">
        <is>
          <t>Ship To</t>
        </is>
      </c>
      <c r="B15" s="8" t="n"/>
      <c r="C15" s="9" t="n"/>
      <c r="D15" s="9" t="n"/>
      <c r="E15" s="9" t="n"/>
    </row>
    <row r="17">
      <c r="A17" s="12" t="inlineStr">
        <is>
          <t>Enter EITHER Your Price OR Discount % per line. Yellow cells are editable; the rest calculate.</t>
        </is>
      </c>
    </row>
    <row r="18" ht="32" customHeight="1">
      <c r="A18" s="13" t="inlineStr">
        <is>
          <t>SKU</t>
        </is>
      </c>
      <c r="B18" s="13" t="inlineStr">
        <is>
          <t>Description</t>
        </is>
      </c>
      <c r="C18" s="13" t="inlineStr">
        <is>
          <t>Qty</t>
        </is>
      </c>
      <c r="D18" s="13" t="inlineStr">
        <is>
          <t>Retail (ea)</t>
        </is>
      </c>
      <c r="E18" s="13" t="inlineStr">
        <is>
          <t>Your Price
(enter)</t>
        </is>
      </c>
      <c r="F18" s="13" t="inlineStr">
        <is>
          <t>Discount %
(enter)</t>
        </is>
      </c>
      <c r="G18" s="13" t="inlineStr">
        <is>
          <t>Unit Price</t>
        </is>
      </c>
      <c r="H18" s="13" t="inlineStr">
        <is>
          <t>Discount</t>
        </is>
      </c>
      <c r="I18" s="13" t="inlineStr">
        <is>
          <t>Line Total</t>
        </is>
      </c>
    </row>
    <row r="19">
      <c r="A19" s="9" t="n"/>
      <c r="B19" s="8" t="n"/>
      <c r="C19" s="9" t="n"/>
      <c r="D19" s="14" t="n"/>
      <c r="E19" s="14" t="n"/>
      <c r="F19" s="15" t="n"/>
      <c r="G19" s="16">
        <f>IF(D19="","",IF(E19&lt;&gt;"",E19,IF(F19&lt;&gt;"",ROUND(D19*(1-F19),2),D19)))</f>
        <v/>
      </c>
      <c r="H19" s="17">
        <f>IF(OR(D19="",D19=0,G19=""),"",1-G19/D19)</f>
        <v/>
      </c>
      <c r="I19" s="16">
        <f>IF(OR(C19="",G19=""),"",C19*G19)</f>
        <v/>
      </c>
    </row>
    <row r="20">
      <c r="A20" s="9" t="n"/>
      <c r="B20" s="8" t="n"/>
      <c r="C20" s="9" t="n"/>
      <c r="D20" s="14" t="n"/>
      <c r="E20" s="14" t="n"/>
      <c r="F20" s="15" t="n"/>
      <c r="G20" s="16">
        <f>IF(D20="","",IF(E20&lt;&gt;"",E20,IF(F20&lt;&gt;"",ROUND(D20*(1-F20),2),D20)))</f>
        <v/>
      </c>
      <c r="H20" s="17">
        <f>IF(OR(D20="",D20=0,G20=""),"",1-G20/D20)</f>
        <v/>
      </c>
      <c r="I20" s="16">
        <f>IF(OR(C20="",G20=""),"",C20*G20)</f>
        <v/>
      </c>
    </row>
    <row r="21">
      <c r="A21" s="9" t="n"/>
      <c r="B21" s="8" t="n"/>
      <c r="C21" s="9" t="n"/>
      <c r="D21" s="14" t="n"/>
      <c r="E21" s="14" t="n"/>
      <c r="F21" s="15" t="n"/>
      <c r="G21" s="16">
        <f>IF(D21="","",IF(E21&lt;&gt;"",E21,IF(F21&lt;&gt;"",ROUND(D21*(1-F21),2),D21)))</f>
        <v/>
      </c>
      <c r="H21" s="17">
        <f>IF(OR(D21="",D21=0,G21=""),"",1-G21/D21)</f>
        <v/>
      </c>
      <c r="I21" s="16">
        <f>IF(OR(C21="",G21=""),"",C21*G21)</f>
        <v/>
      </c>
    </row>
    <row r="22">
      <c r="A22" s="9" t="n"/>
      <c r="B22" s="8" t="n"/>
      <c r="C22" s="9" t="n"/>
      <c r="D22" s="14" t="n"/>
      <c r="E22" s="14" t="n"/>
      <c r="F22" s="15" t="n"/>
      <c r="G22" s="16">
        <f>IF(D22="","",IF(E22&lt;&gt;"",E22,IF(F22&lt;&gt;"",ROUND(D22*(1-F22),2),D22)))</f>
        <v/>
      </c>
      <c r="H22" s="17">
        <f>IF(OR(D22="",D22=0,G22=""),"",1-G22/D22)</f>
        <v/>
      </c>
      <c r="I22" s="16">
        <f>IF(OR(C22="",G22=""),"",C22*G22)</f>
        <v/>
      </c>
    </row>
    <row r="23">
      <c r="A23" s="9" t="n"/>
      <c r="B23" s="8" t="n"/>
      <c r="C23" s="9" t="n"/>
      <c r="D23" s="14" t="n"/>
      <c r="E23" s="14" t="n"/>
      <c r="F23" s="15" t="n"/>
      <c r="G23" s="16">
        <f>IF(D23="","",IF(E23&lt;&gt;"",E23,IF(F23&lt;&gt;"",ROUND(D23*(1-F23),2),D23)))</f>
        <v/>
      </c>
      <c r="H23" s="17">
        <f>IF(OR(D23="",D23=0,G23=""),"",1-G23/D23)</f>
        <v/>
      </c>
      <c r="I23" s="16">
        <f>IF(OR(C23="",G23=""),"",C23*G23)</f>
        <v/>
      </c>
    </row>
    <row r="24">
      <c r="A24" s="9" t="n"/>
      <c r="B24" s="8" t="n"/>
      <c r="C24" s="9" t="n"/>
      <c r="D24" s="14" t="n"/>
      <c r="E24" s="14" t="n"/>
      <c r="F24" s="15" t="n"/>
      <c r="G24" s="16">
        <f>IF(D24="","",IF(E24&lt;&gt;"",E24,IF(F24&lt;&gt;"",ROUND(D24*(1-F24),2),D24)))</f>
        <v/>
      </c>
      <c r="H24" s="17">
        <f>IF(OR(D24="",D24=0,G24=""),"",1-G24/D24)</f>
        <v/>
      </c>
      <c r="I24" s="16">
        <f>IF(OR(C24="",G24=""),"",C24*G24)</f>
        <v/>
      </c>
    </row>
    <row r="25">
      <c r="A25" s="9" t="n"/>
      <c r="B25" s="8" t="n"/>
      <c r="C25" s="9" t="n"/>
      <c r="D25" s="14" t="n"/>
      <c r="E25" s="14" t="n"/>
      <c r="F25" s="15" t="n"/>
      <c r="G25" s="16">
        <f>IF(D25="","",IF(E25&lt;&gt;"",E25,IF(F25&lt;&gt;"",ROUND(D25*(1-F25),2),D25)))</f>
        <v/>
      </c>
      <c r="H25" s="17">
        <f>IF(OR(D25="",D25=0,G25=""),"",1-G25/D25)</f>
        <v/>
      </c>
      <c r="I25" s="16">
        <f>IF(OR(C25="",G25=""),"",C25*G25)</f>
        <v/>
      </c>
    </row>
    <row r="26">
      <c r="A26" s="9" t="n"/>
      <c r="B26" s="8" t="n"/>
      <c r="C26" s="9" t="n"/>
      <c r="D26" s="14" t="n"/>
      <c r="E26" s="14" t="n"/>
      <c r="F26" s="15" t="n"/>
      <c r="G26" s="16">
        <f>IF(D26="","",IF(E26&lt;&gt;"",E26,IF(F26&lt;&gt;"",ROUND(D26*(1-F26),2),D26)))</f>
        <v/>
      </c>
      <c r="H26" s="17">
        <f>IF(OR(D26="",D26=0,G26=""),"",1-G26/D26)</f>
        <v/>
      </c>
      <c r="I26" s="16">
        <f>IF(OR(C26="",G26=""),"",C26*G26)</f>
        <v/>
      </c>
    </row>
    <row r="27">
      <c r="A27" s="9" t="n"/>
      <c r="B27" s="8" t="n"/>
      <c r="C27" s="9" t="n"/>
      <c r="D27" s="14" t="n"/>
      <c r="E27" s="14" t="n"/>
      <c r="F27" s="15" t="n"/>
      <c r="G27" s="16">
        <f>IF(D27="","",IF(E27&lt;&gt;"",E27,IF(F27&lt;&gt;"",ROUND(D27*(1-F27),2),D27)))</f>
        <v/>
      </c>
      <c r="H27" s="17">
        <f>IF(OR(D27="",D27=0,G27=""),"",1-G27/D27)</f>
        <v/>
      </c>
      <c r="I27" s="16">
        <f>IF(OR(C27="",G27=""),"",C27*G27)</f>
        <v/>
      </c>
    </row>
    <row r="28">
      <c r="A28" s="9" t="n"/>
      <c r="B28" s="8" t="n"/>
      <c r="C28" s="9" t="n"/>
      <c r="D28" s="14" t="n"/>
      <c r="E28" s="14" t="n"/>
      <c r="F28" s="15" t="n"/>
      <c r="G28" s="16">
        <f>IF(D28="","",IF(E28&lt;&gt;"",E28,IF(F28&lt;&gt;"",ROUND(D28*(1-F28),2),D28)))</f>
        <v/>
      </c>
      <c r="H28" s="17">
        <f>IF(OR(D28="",D28=0,G28=""),"",1-G28/D28)</f>
        <v/>
      </c>
      <c r="I28" s="16">
        <f>IF(OR(C28="",G28=""),"",C28*G28)</f>
        <v/>
      </c>
    </row>
    <row r="30">
      <c r="A30" s="6" t="inlineStr">
        <is>
          <t>PAYMENT</t>
        </is>
      </c>
      <c r="B30" s="1" t="n"/>
      <c r="C30" s="1" t="n"/>
      <c r="D30" s="1" t="n"/>
      <c r="E30" s="1" t="n"/>
      <c r="H30" s="18" t="inlineStr">
        <is>
          <t>Retail Value</t>
        </is>
      </c>
      <c r="I30" s="16">
        <f>SUMPRODUCT(C19:C28,D19:D28)</f>
        <v/>
      </c>
    </row>
    <row r="31">
      <c r="A31" s="7" t="inlineStr">
        <is>
          <t>Method</t>
        </is>
      </c>
      <c r="B31" s="8" t="inlineStr">
        <is>
          <t>PayPal</t>
        </is>
      </c>
      <c r="C31" s="9" t="n"/>
      <c r="D31" s="9" t="n"/>
      <c r="E31" s="9" t="n"/>
      <c r="H31" s="18" t="inlineStr">
        <is>
          <t>Discount</t>
        </is>
      </c>
      <c r="I31" s="19">
        <f>I30-I32</f>
        <v/>
      </c>
    </row>
    <row r="32">
      <c r="A32" s="7" t="inlineStr">
        <is>
          <t>Pay To</t>
        </is>
      </c>
      <c r="B32" s="20">
        <f>IFERROR(HYPERLINK(VLOOKUP(B31,Lists!$A$2:$D$2,3,FALSE),VLOOKUP(B31,Lists!$A$2:$D$2,2,FALSE)),"")</f>
        <v/>
      </c>
      <c r="C32" s="21" t="n"/>
      <c r="D32" s="21" t="n"/>
      <c r="E32" s="21" t="n"/>
      <c r="H32" s="18" t="inlineStr">
        <is>
          <t>Subtotal</t>
        </is>
      </c>
      <c r="I32" s="16">
        <f>SUM(I19:I28)</f>
        <v/>
      </c>
    </row>
    <row r="33">
      <c r="A33" s="7" t="inlineStr">
        <is>
          <t>Deposit Received</t>
        </is>
      </c>
      <c r="B33" s="10" t="n"/>
      <c r="C33" s="9" t="n"/>
      <c r="D33" s="9" t="n"/>
      <c r="E33" s="9" t="n"/>
      <c r="H33" s="18" t="inlineStr">
        <is>
          <t>Shipping</t>
        </is>
      </c>
      <c r="I33" s="14" t="n">
        <v>0</v>
      </c>
    </row>
    <row r="34">
      <c r="A34" s="7" t="inlineStr">
        <is>
          <t>Paid in Full</t>
        </is>
      </c>
      <c r="B34" s="10" t="n"/>
      <c r="C34" s="9" t="n"/>
      <c r="D34" s="9" t="n"/>
      <c r="E34" s="9" t="n"/>
      <c r="H34" s="18" t="inlineStr">
        <is>
          <t>Tax Rate</t>
        </is>
      </c>
      <c r="I34" s="22" t="n">
        <v>0</v>
      </c>
    </row>
    <row r="35">
      <c r="A35" s="7" t="inlineStr">
        <is>
          <t>Payment Ref #</t>
        </is>
      </c>
      <c r="B35" s="8" t="n"/>
      <c r="C35" s="9" t="n"/>
      <c r="D35" s="9" t="n"/>
      <c r="E35" s="9" t="n"/>
      <c r="H35" s="18" t="inlineStr">
        <is>
          <t>Tax</t>
        </is>
      </c>
      <c r="I35" s="16">
        <f>ROUND(I32*I34,2)</f>
        <v/>
      </c>
    </row>
    <row r="36">
      <c r="H36" s="23" t="inlineStr">
        <is>
          <t>TOTAL</t>
        </is>
      </c>
      <c r="I36" s="24">
        <f>I32+I33+I35</f>
        <v/>
      </c>
    </row>
    <row r="37">
      <c r="H37" s="18" t="inlineStr">
        <is>
          <t>Deposit Paid</t>
        </is>
      </c>
      <c r="I37" s="14" t="n">
        <v>0</v>
      </c>
    </row>
    <row r="38">
      <c r="H38" s="23" t="inlineStr">
        <is>
          <t>BALANCE DUE</t>
        </is>
      </c>
      <c r="I38" s="24">
        <f>I36-I37</f>
        <v/>
      </c>
    </row>
    <row r="40">
      <c r="A40" s="6" t="inlineStr">
        <is>
          <t>NOTES / TERMS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25" t="n"/>
    </row>
    <row r="42"/>
    <row r="43"/>
    <row r="44"/>
    <row r="46">
      <c r="A46" s="26" t="inlineStr">
        <is>
          <t>CUSTOMER ACCEPTANCE</t>
        </is>
      </c>
    </row>
    <row r="47">
      <c r="A47" s="27" t="inlineStr">
        <is>
          <t>By signing, the customer accepts this order, its pricing and the terms above.</t>
        </is>
      </c>
    </row>
    <row r="49" ht="30" customHeight="1">
      <c r="A49" s="28" t="n"/>
      <c r="B49" s="28" t="n"/>
      <c r="C49" s="28" t="n"/>
      <c r="D49" s="28" t="n"/>
      <c r="F49" s="28" t="n"/>
      <c r="G49" s="28" t="n"/>
      <c r="H49" s="28" t="n"/>
      <c r="I49" s="28" t="n"/>
    </row>
    <row r="50">
      <c r="A50" s="29" t="inlineStr">
        <is>
          <t>Signature</t>
        </is>
      </c>
      <c r="F50" s="29" t="inlineStr">
        <is>
          <t>Date</t>
        </is>
      </c>
      <c r="H50" s="29" t="inlineStr">
        <is>
          <t>Printed name</t>
        </is>
      </c>
    </row>
    <row r="52" ht="28" customHeight="1">
      <c r="A52" s="30" t="inlineStr">
        <is>
          <t>The World's Largest Resource for Uranium Glass Jewelry</t>
        </is>
      </c>
    </row>
    <row r="53">
      <c r="A53" s="31" t="inlineStr">
        <is>
          <t>storyshapedstudios.com  ·  info@storyshapedstudios.com  ·  Thank you for supporting handmade glass</t>
        </is>
      </c>
    </row>
  </sheetData>
  <mergeCells count="14">
    <mergeCell ref="A52:I52"/>
    <mergeCell ref="B31:E31"/>
    <mergeCell ref="B35:E35"/>
    <mergeCell ref="B12:E12"/>
    <mergeCell ref="B13:E13"/>
    <mergeCell ref="B15:E15"/>
    <mergeCell ref="B33:E33"/>
    <mergeCell ref="B11:E11"/>
    <mergeCell ref="A53:I53"/>
    <mergeCell ref="B34:E34"/>
    <mergeCell ref="B10:E10"/>
    <mergeCell ref="A41:I44"/>
    <mergeCell ref="B14:E14"/>
    <mergeCell ref="B32:E32"/>
  </mergeCells>
  <conditionalFormatting sqref="E19:F28">
    <cfRule type="expression" priority="1" dxfId="0">
      <formula>AND($E19&lt;&gt;"",$F19&lt;&gt;"")</formula>
    </cfRule>
  </conditionalFormatting>
  <dataValidations count="2">
    <dataValidation sqref="I13" showDropDown="0" showInputMessage="0" showErrorMessage="0" allowBlank="1" type="list">
      <formula1>"QUOTE / DRAFT,INVOICE,DEPOSIT PAID,PAID IN FULL"</formula1>
    </dataValidation>
    <dataValidation sqref="B31" showDropDown="0" showInputMessage="0" showErrorMessage="0" allowBlank="1" type="list">
      <formula1>=Lists!$A$2:$A$2</formula1>
    </dataValidation>
  </dataValidations>
  <pageMargins left="0.4" right="0.4" top="1" bottom="1" header="0.5" footer="0.5"/>
  <pageSetup orientation="portrait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Pay To</t>
        </is>
      </c>
      <c r="C1" t="inlineStr">
        <is>
          <t>Link</t>
        </is>
      </c>
      <c r="D1" t="inlineStr">
        <is>
          <t>Handle</t>
        </is>
      </c>
    </row>
    <row r="2">
      <c r="A2" t="inlineStr">
        <is>
          <t>PayPal</t>
        </is>
      </c>
      <c r="B2" t="inlineStr">
        <is>
          <t>StoryShapedStudios, LLC</t>
        </is>
      </c>
      <c r="C2" t="inlineStr">
        <is>
          <t>https://www.paypal.me/WVaught823</t>
        </is>
      </c>
      <c r="D2" t="inlineStr">
        <is>
          <t>@WVaught823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2026-10-27T23:56:03Z</dcterms:created>
  <dcterms:modified xmlns:dcterms="http://purl.org/dc/terms/" xmlns:xsi="http://www.w3.org/2001/XMLSchema-instance" xsi:type="dcterms:W3CDTF">2026-10-27T23:56:03Z</dcterms:modified>
</cp:coreProperties>
</file>